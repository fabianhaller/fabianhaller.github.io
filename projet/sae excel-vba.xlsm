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fabian_haller_etu_univ-poitiers_fr/Documents/BUT SD/Saé/Saé Excel VBA/"/>
    </mc:Choice>
  </mc:AlternateContent>
  <xr:revisionPtr revIDLastSave="25" documentId="8_{5F9A2A26-F21C-40C2-A3F7-A9BD7016ACFD}" xr6:coauthVersionLast="47" xr6:coauthVersionMax="47" xr10:uidLastSave="{E0B2E409-399E-489A-A2A2-FB1FC2E95514}"/>
  <bookViews>
    <workbookView xWindow="-108" yWindow="-108" windowWidth="23256" windowHeight="12456" activeTab="1" xr2:uid="{C4F3792E-A975-4A71-871A-444185FA6513}"/>
  </bookViews>
  <sheets>
    <sheet name="Coef - BUT1" sheetId="7" r:id="rId1"/>
    <sheet name="Menu" sheetId="9" r:id="rId2"/>
    <sheet name="Données" sheetId="8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8" i="7" l="1"/>
  <c r="D49" i="7"/>
  <c r="D50" i="7"/>
  <c r="D51" i="7"/>
  <c r="D52" i="7"/>
  <c r="D53" i="7"/>
  <c r="D54" i="7"/>
  <c r="D47" i="7"/>
  <c r="D37" i="7"/>
  <c r="D38" i="7"/>
  <c r="D39" i="7"/>
  <c r="D40" i="7"/>
  <c r="D41" i="7"/>
  <c r="D42" i="7"/>
  <c r="D43" i="7"/>
  <c r="D44" i="7"/>
  <c r="D45" i="7"/>
  <c r="D36" i="7"/>
  <c r="D27" i="7"/>
  <c r="D28" i="7"/>
  <c r="D29" i="7"/>
  <c r="D30" i="7"/>
  <c r="D31" i="7"/>
  <c r="D32" i="7"/>
  <c r="D33" i="7"/>
  <c r="D34" i="7"/>
  <c r="D26" i="7"/>
  <c r="D18" i="7"/>
  <c r="D19" i="7"/>
  <c r="D20" i="7"/>
  <c r="D21" i="7"/>
  <c r="D22" i="7"/>
  <c r="D23" i="7"/>
  <c r="D17" i="7"/>
  <c r="D12" i="7"/>
  <c r="D13" i="7"/>
  <c r="D14" i="7"/>
  <c r="D15" i="7"/>
  <c r="D11" i="7"/>
  <c r="D5" i="7"/>
  <c r="D6" i="7"/>
  <c r="D7" i="7"/>
  <c r="D8" i="7"/>
  <c r="D9" i="7"/>
  <c r="D4" i="7"/>
  <c r="K23" i="7" l="1" a="1"/>
  <c r="K23" i="7" s="1"/>
  <c r="K22" i="7" a="1"/>
  <c r="K22" i="7" s="1"/>
  <c r="K24" i="7" a="1"/>
  <c r="K24" i="7" s="1"/>
  <c r="K28" i="7" a="1"/>
  <c r="K28" i="7" s="1"/>
  <c r="K26" i="7" a="1"/>
  <c r="K26" i="7" s="1"/>
  <c r="K27" i="7" a="1"/>
  <c r="K27" i="7" s="1"/>
  <c r="K31" i="7" l="1"/>
  <c r="K30" i="7"/>
  <c r="K34" i="7"/>
  <c r="K32" i="7"/>
  <c r="K35" i="7"/>
  <c r="K45" i="7" l="1"/>
  <c r="K3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<sst xmlns="http://schemas.openxmlformats.org/spreadsheetml/2006/main" count="81" uniqueCount="62">
  <si>
    <t>Semestre 1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</si>
  <si>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</si>
  <si>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</si>
  <si>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</si>
  <si>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</si>
  <si>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</si>
  <si>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</si>
  <si>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</si>
  <si>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</si>
  <si>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</si>
  <si>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</si>
  <si>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</si>
  <si>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</si>
  <si>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</si>
  <si>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</si>
  <si>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</si>
  <si>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</si>
  <si>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</si>
  <si>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</si>
  <si>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</si>
  <si>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</si>
  <si>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</si>
  <si>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</si>
  <si>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</si>
  <si>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</si>
  <si>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</si>
  <si>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</si>
  <si>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</si>
  <si>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</si>
  <si>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</si>
  <si>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</si>
  <si>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</si>
  <si>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</si>
  <si>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</si>
  <si>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</si>
  <si>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</si>
  <si>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Étude des données de l'environnement entrepreneurial et économique</t>
  </si>
  <si>
    <t>SAÉ - Construction et présentation d'indicateurs de performance</t>
  </si>
  <si>
    <t>Communication et sémiologie</t>
  </si>
  <si>
    <t>MOYENNE MATIÈRE</t>
  </si>
  <si>
    <t xml:space="preserve"> Compétence 1</t>
  </si>
  <si>
    <t xml:space="preserve"> Compétence 2</t>
  </si>
  <si>
    <t xml:space="preserve"> Compétence 3</t>
  </si>
  <si>
    <t>MOYENNE GLOBAL</t>
  </si>
  <si>
    <t>Année</t>
  </si>
  <si>
    <t>T'as Peur ?</t>
  </si>
  <si>
    <t>MOYENNE COMPÉTENCES SEMESTRE 1</t>
  </si>
  <si>
    <t>MOYENNE COMPÉTENCES SEMESTRE 2</t>
  </si>
  <si>
    <t>MOYENNE DES DEUX SEMESTRES COMBINÉS</t>
  </si>
  <si>
    <t>Compétence 1</t>
  </si>
  <si>
    <t>Compétence 2</t>
  </si>
  <si>
    <t>Compétence 3</t>
  </si>
  <si>
    <t>PASSAGE EN DEUXIÈME ANNÉE</t>
  </si>
  <si>
    <t>CONDITION</t>
  </si>
  <si>
    <t>Pour passer en deuxième année il faut avoir deux compétences avec une moyenne supérieur ou égale à 10 et une compétence superieur ou égale à 8.</t>
  </si>
  <si>
    <t>Résultat</t>
  </si>
  <si>
    <t>SEMESTRE</t>
  </si>
  <si>
    <t>COMPETENCE</t>
  </si>
  <si>
    <t>MATIERE</t>
  </si>
  <si>
    <t>NOTE</t>
  </si>
  <si>
    <t>Créer et Designer par Aubin VINCENT &amp; Fabian HALLER</t>
  </si>
  <si>
    <t>SAÉ - Reporting à partir de données stockées dans un SGBD relationnel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</si>
</sst>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8"/>
      <color theme="0"/>
      <name val="Bernard MT Condensed"/>
      <family val="1"/>
    </font>
    <font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6"/>
      <color theme="0"/>
      <name val="Rockwell Extra Bold"/>
      <family val="1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2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4" borderId="3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vertical="center"/>
    </xf>
    <xf numFmtId="0" fontId="1" fillId="6" borderId="4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vertical="center" wrapText="1"/>
    </xf>
    <xf numFmtId="0" fontId="2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vertical="center"/>
    </xf>
    <xf numFmtId="0" fontId="1" fillId="8" borderId="0" xfId="0" applyFont="1" applyFill="1" applyAlignment="1">
      <alignment horizontal="center" vertical="center"/>
    </xf>
    <xf numFmtId="0" fontId="1" fillId="8" borderId="2" xfId="0" applyFont="1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 vertical="center"/>
    </xf>
    <xf numFmtId="0" fontId="1" fillId="5" borderId="5" xfId="0" applyFont="1" applyFill="1" applyBorder="1" applyAlignment="1">
      <alignment vertical="center" wrapText="1"/>
    </xf>
    <xf numFmtId="0" fontId="2" fillId="8" borderId="2" xfId="0" applyFont="1" applyFill="1" applyBorder="1" applyAlignment="1">
      <alignment horizontal="left" vertical="center" wrapText="1"/>
    </xf>
    <xf numFmtId="0" fontId="1" fillId="8" borderId="2" xfId="0" applyFont="1" applyFill="1" applyBorder="1" applyAlignment="1">
      <alignment vertical="center"/>
    </xf>
    <xf numFmtId="0" fontId="3" fillId="8" borderId="2" xfId="0" applyFont="1" applyFill="1" applyBorder="1" applyAlignment="1">
      <alignment horizontal="center" vertic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1" fillId="6" borderId="6" xfId="0" applyFont="1" applyFill="1" applyBorder="1" applyAlignment="1">
      <alignment vertical="center"/>
    </xf>
    <xf numFmtId="0" fontId="1" fillId="4" borderId="5" xfId="0" applyFont="1" applyFill="1" applyBorder="1" applyAlignment="1">
      <alignment vertical="center" wrapText="1"/>
    </xf>
    <xf numFmtId="0" fontId="2" fillId="8" borderId="14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3" fillId="8" borderId="14" xfId="0" applyFont="1" applyFill="1" applyBorder="1" applyAlignment="1">
      <alignment horizontal="center" vertic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" fillId="6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164" fontId="0" fillId="0" borderId="1" xfId="1" applyNumberFormat="1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2" borderId="14" xfId="0" applyFill="1" applyBorder="1"/>
    <xf numFmtId="0" fontId="0" fillId="12" borderId="14" xfId="0" applyFill="1" applyBorder="1" applyAlignment="1">
      <alignment horizontal="center"/>
    </xf>
    <xf numFmtId="0" fontId="0" fillId="12" borderId="13" xfId="0" applyFill="1" applyBorder="1"/>
    <xf numFmtId="0" fontId="0" fillId="8" borderId="14" xfId="0" applyFill="1" applyBorder="1" applyAlignment="1">
      <alignment horizontal="center"/>
    </xf>
    <xf numFmtId="0" fontId="1" fillId="6" borderId="8" xfId="0" applyFont="1" applyFill="1" applyBorder="1" applyAlignment="1">
      <alignment vertical="center"/>
    </xf>
    <xf numFmtId="0" fontId="1" fillId="6" borderId="8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/>
    </xf>
    <xf numFmtId="0" fontId="0" fillId="13" borderId="0" xfId="0" applyFill="1" applyProtection="1">
      <protection hidden="1"/>
    </xf>
    <xf numFmtId="0" fontId="0" fillId="13" borderId="0" xfId="0" applyFill="1"/>
    <xf numFmtId="0" fontId="1" fillId="8" borderId="14" xfId="0" applyFont="1" applyFill="1" applyBorder="1"/>
    <xf numFmtId="0" fontId="0" fillId="8" borderId="14" xfId="0" applyFill="1" applyBorder="1" applyAlignment="1">
      <alignment horizontal="center" vertical="center"/>
    </xf>
    <xf numFmtId="0" fontId="0" fillId="8" borderId="15" xfId="0" applyFill="1" applyBorder="1"/>
    <xf numFmtId="0" fontId="8" fillId="13" borderId="0" xfId="0" applyFont="1" applyFill="1" applyAlignment="1">
      <alignment vertical="center"/>
    </xf>
    <xf numFmtId="0" fontId="5" fillId="9" borderId="22" xfId="0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164" fontId="7" fillId="9" borderId="16" xfId="1" applyNumberFormat="1" applyFont="1" applyFill="1" applyBorder="1" applyAlignment="1">
      <alignment horizontal="center"/>
    </xf>
    <xf numFmtId="0" fontId="0" fillId="9" borderId="22" xfId="0" applyFill="1" applyBorder="1" applyAlignment="1" applyProtection="1">
      <alignment horizontal="center"/>
      <protection hidden="1"/>
    </xf>
    <xf numFmtId="0" fontId="7" fillId="9" borderId="1" xfId="0" applyFont="1" applyFill="1" applyBorder="1" applyAlignment="1" applyProtection="1">
      <alignment horizontal="center"/>
      <protection hidden="1"/>
    </xf>
    <xf numFmtId="0" fontId="0" fillId="6" borderId="1" xfId="0" applyFill="1" applyBorder="1" applyAlignment="1" applyProtection="1">
      <alignment horizontal="center"/>
      <protection hidden="1"/>
    </xf>
    <xf numFmtId="164" fontId="0" fillId="0" borderId="22" xfId="1" applyNumberFormat="1" applyFont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0" fillId="8" borderId="23" xfId="0" applyFill="1" applyBorder="1"/>
    <xf numFmtId="0" fontId="0" fillId="11" borderId="1" xfId="0" applyFill="1" applyBorder="1" applyAlignment="1">
      <alignment horizontal="center"/>
    </xf>
    <xf numFmtId="0" fontId="0" fillId="8" borderId="13" xfId="0" applyFill="1" applyBorder="1" applyProtection="1">
      <protection hidden="1"/>
    </xf>
    <xf numFmtId="0" fontId="0" fillId="8" borderId="11" xfId="0" applyFill="1" applyBorder="1" applyProtection="1">
      <protection hidden="1"/>
    </xf>
    <xf numFmtId="0" fontId="0" fillId="8" borderId="20" xfId="0" applyFill="1" applyBorder="1"/>
    <xf numFmtId="0" fontId="7" fillId="9" borderId="1" xfId="0" applyFont="1" applyFill="1" applyBorder="1" applyAlignment="1">
      <alignment horizontal="center"/>
    </xf>
    <xf numFmtId="0" fontId="0" fillId="8" borderId="23" xfId="0" applyFill="1" applyBorder="1" applyProtection="1">
      <protection hidden="1"/>
    </xf>
    <xf numFmtId="0" fontId="7" fillId="9" borderId="24" xfId="0" applyFont="1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 wrapText="1"/>
    </xf>
    <xf numFmtId="0" fontId="0" fillId="8" borderId="19" xfId="0" applyFill="1" applyBorder="1" applyProtection="1">
      <protection hidden="1"/>
    </xf>
    <xf numFmtId="0" fontId="0" fillId="8" borderId="14" xfId="0" applyFill="1" applyBorder="1" applyProtection="1">
      <protection hidden="1"/>
    </xf>
    <xf numFmtId="0" fontId="0" fillId="0" borderId="0" xfId="0" applyProtection="1">
      <protection locked="0"/>
    </xf>
    <xf numFmtId="0" fontId="11" fillId="13" borderId="0" xfId="0" applyFont="1" applyFill="1"/>
    <xf numFmtId="0" fontId="11" fillId="13" borderId="0" xfId="0" applyFont="1" applyFill="1" applyProtection="1">
      <protection hidden="1"/>
    </xf>
    <xf numFmtId="0" fontId="11" fillId="13" borderId="0" xfId="0" applyFont="1" applyFill="1" applyProtection="1">
      <protection locked="0"/>
    </xf>
    <xf numFmtId="0" fontId="0" fillId="8" borderId="0" xfId="0" applyFill="1"/>
    <xf numFmtId="0" fontId="0" fillId="8" borderId="19" xfId="0" applyFill="1" applyBorder="1"/>
    <xf numFmtId="0" fontId="0" fillId="8" borderId="18" xfId="0" applyFill="1" applyBorder="1"/>
    <xf numFmtId="0" fontId="0" fillId="9" borderId="17" xfId="0" applyFill="1" applyBorder="1"/>
    <xf numFmtId="0" fontId="7" fillId="9" borderId="29" xfId="0" applyFont="1" applyFill="1" applyBorder="1" applyAlignment="1">
      <alignment horizontal="center"/>
    </xf>
    <xf numFmtId="0" fontId="1" fillId="12" borderId="27" xfId="0" applyFont="1" applyFill="1" applyBorder="1"/>
    <xf numFmtId="0" fontId="1" fillId="12" borderId="28" xfId="0" applyFont="1" applyFill="1" applyBorder="1"/>
    <xf numFmtId="0" fontId="1" fillId="12" borderId="26" xfId="0" applyFont="1" applyFill="1" applyBorder="1" applyAlignment="1">
      <alignment horizontal="center"/>
    </xf>
    <xf numFmtId="0" fontId="1" fillId="12" borderId="25" xfId="0" applyFont="1" applyFill="1" applyBorder="1"/>
    <xf numFmtId="1" fontId="0" fillId="0" borderId="1" xfId="0" applyNumberFormat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15" borderId="0" xfId="0" applyFill="1"/>
    <xf numFmtId="0" fontId="2" fillId="6" borderId="10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13" fillId="13" borderId="20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1" fillId="13" borderId="0" xfId="0" applyFont="1" applyFill="1" applyAlignment="1" applyProtection="1">
      <alignment horizontal="center"/>
      <protection locked="0"/>
    </xf>
    <xf numFmtId="0" fontId="0" fillId="13" borderId="0" xfId="0" applyFill="1" applyAlignment="1">
      <alignment horizontal="center"/>
    </xf>
    <xf numFmtId="0" fontId="10" fillId="13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7" xfId="0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</cellXfs>
  <cellStyles count="2">
    <cellStyle name="Milliers" xfId="1" builtinId="3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952502</xdr:colOff>
      <xdr:row>2</xdr:row>
      <xdr:rowOff>171450</xdr:rowOff>
    </xdr:from>
    <xdr:to>
      <xdr:col>10</xdr:col>
      <xdr:colOff>2496680</xdr:colOff>
      <xdr:row>15</xdr:row>
      <xdr:rowOff>83905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1719114" y="530038"/>
          <a:ext cx="2593048" cy="2476361"/>
          <a:chOff x="11362766" y="526675"/>
          <a:chExt cx="2563913" cy="2579455"/>
        </a:xfrm>
      </xdr:grpSpPr>
      <xdr:sp macro="" textlink="">
        <xdr:nvSpPr>
          <xdr:cNvPr id="2" name="Rectangle : coins arrondi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628906" y="607218"/>
            <a:ext cx="2173939" cy="2498912"/>
          </a:xfrm>
          <a:prstGeom prst="roundRect">
            <a:avLst/>
          </a:prstGeom>
          <a:noFill/>
          <a:ln w="7620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fr-FR" sz="1100"/>
          </a:p>
        </xdr:txBody>
      </xdr:sp>
      <xdr:pic>
        <xdr:nvPicPr>
          <xdr:cNvPr id="3" name="Imag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62766" y="526675"/>
            <a:ext cx="2563913" cy="2246781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982980</xdr:colOff>
          <xdr:row>47</xdr:row>
          <xdr:rowOff>160020</xdr:rowOff>
        </xdr:from>
        <xdr:to>
          <xdr:col>10</xdr:col>
          <xdr:colOff>236220</xdr:colOff>
          <xdr:row>50</xdr:row>
          <xdr:rowOff>30480</xdr:rowOff>
        </xdr:to>
        <xdr:sp macro="" textlink="">
          <xdr:nvSpPr>
            <xdr:cNvPr id="1025" name="btnRetou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1403660</xdr:colOff>
      <xdr:row>5</xdr:row>
      <xdr:rowOff>95087</xdr:rowOff>
    </xdr:from>
    <xdr:to>
      <xdr:col>13</xdr:col>
      <xdr:colOff>979023</xdr:colOff>
      <xdr:row>11</xdr:row>
      <xdr:rowOff>18027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1601" y="1047587"/>
          <a:ext cx="2029451" cy="1065940"/>
        </a:xfrm>
        <a:prstGeom prst="rect">
          <a:avLst/>
        </a:prstGeom>
      </xdr:spPr>
    </xdr:pic>
    <xdr:clientData/>
  </xdr:twoCellAnchor>
  <xdr:twoCellAnchor editAs="oneCell">
    <xdr:from>
      <xdr:col>12</xdr:col>
      <xdr:colOff>1664806</xdr:colOff>
      <xdr:row>25</xdr:row>
      <xdr:rowOff>123264</xdr:rowOff>
    </xdr:from>
    <xdr:to>
      <xdr:col>13</xdr:col>
      <xdr:colOff>784412</xdr:colOff>
      <xdr:row>34</xdr:row>
      <xdr:rowOff>60414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2747" y="5266764"/>
          <a:ext cx="1573694" cy="1674062"/>
        </a:xfrm>
        <a:prstGeom prst="rect">
          <a:avLst/>
        </a:prstGeom>
      </xdr:spPr>
    </xdr:pic>
    <xdr:clientData/>
  </xdr:twoCellAnchor>
  <xdr:twoCellAnchor editAs="oneCell">
    <xdr:from>
      <xdr:col>10</xdr:col>
      <xdr:colOff>280616</xdr:colOff>
      <xdr:row>50</xdr:row>
      <xdr:rowOff>126675</xdr:rowOff>
    </xdr:from>
    <xdr:to>
      <xdr:col>10</xdr:col>
      <xdr:colOff>2622664</xdr:colOff>
      <xdr:row>54</xdr:row>
      <xdr:rowOff>171012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6645" y="10055087"/>
          <a:ext cx="2342048" cy="8063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14654</xdr:rowOff>
    </xdr:from>
    <xdr:to>
      <xdr:col>11</xdr:col>
      <xdr:colOff>410308</xdr:colOff>
      <xdr:row>22</xdr:row>
      <xdr:rowOff>58615</xdr:rowOff>
    </xdr:to>
    <xdr:sp macro="" textlink="">
      <xdr:nvSpPr>
        <xdr:cNvPr id="3" name="Organigramme : Terminateu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776654"/>
          <a:ext cx="8792308" cy="3472961"/>
        </a:xfrm>
        <a:prstGeom prst="flowChartTermina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24848</xdr:colOff>
      <xdr:row>0</xdr:row>
      <xdr:rowOff>6281</xdr:rowOff>
    </xdr:from>
    <xdr:to>
      <xdr:col>19</xdr:col>
      <xdr:colOff>10193</xdr:colOff>
      <xdr:row>40</xdr:row>
      <xdr:rowOff>130839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848" y="6281"/>
          <a:ext cx="14463345" cy="7744558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206236</xdr:colOff>
      <xdr:row>7</xdr:row>
      <xdr:rowOff>71325</xdr:rowOff>
    </xdr:from>
    <xdr:to>
      <xdr:col>11</xdr:col>
      <xdr:colOff>281609</xdr:colOff>
      <xdr:row>28</xdr:row>
      <xdr:rowOff>45682</xdr:rowOff>
    </xdr:to>
    <xdr:sp macro="" textlink="">
      <xdr:nvSpPr>
        <xdr:cNvPr id="32" name="Organigramme : Terminateu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206236" y="1404825"/>
          <a:ext cx="8457373" cy="3974857"/>
        </a:xfrm>
        <a:prstGeom prst="flowChartTerminator">
          <a:avLst/>
        </a:prstGeom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641103</xdr:colOff>
      <xdr:row>3</xdr:row>
      <xdr:rowOff>27396</xdr:rowOff>
    </xdr:from>
    <xdr:to>
      <xdr:col>6</xdr:col>
      <xdr:colOff>43960</xdr:colOff>
      <xdr:row>31</xdr:row>
      <xdr:rowOff>140963</xdr:rowOff>
    </xdr:to>
    <xdr:sp macro="" textlink="">
      <xdr:nvSpPr>
        <xdr:cNvPr id="6" name="Organigramme : Terminateu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-95252" y="1335251"/>
          <a:ext cx="5447567" cy="3974857"/>
        </a:xfrm>
        <a:prstGeom prst="flowChartTerminator">
          <a:avLst/>
        </a:prstGeom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155076</xdr:colOff>
      <xdr:row>23</xdr:row>
      <xdr:rowOff>38353</xdr:rowOff>
    </xdr:from>
    <xdr:to>
      <xdr:col>9</xdr:col>
      <xdr:colOff>646142</xdr:colOff>
      <xdr:row>25</xdr:row>
      <xdr:rowOff>59988</xdr:rowOff>
    </xdr:to>
    <xdr:sp macro="[0]!voirTutoriel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89076" y="4419853"/>
          <a:ext cx="2015066" cy="402635"/>
        </a:xfrm>
        <a:prstGeom prst="roundRect">
          <a:avLst/>
        </a:prstGeom>
        <a:ln w="381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/>
            <a:t>Tutoriel</a:t>
          </a:r>
        </a:p>
      </xdr:txBody>
    </xdr:sp>
    <xdr:clientData/>
  </xdr:twoCellAnchor>
  <xdr:twoCellAnchor>
    <xdr:from>
      <xdr:col>6</xdr:col>
      <xdr:colOff>671438</xdr:colOff>
      <xdr:row>10</xdr:row>
      <xdr:rowOff>188747</xdr:rowOff>
    </xdr:from>
    <xdr:to>
      <xdr:col>10</xdr:col>
      <xdr:colOff>225076</xdr:colOff>
      <xdr:row>15</xdr:row>
      <xdr:rowOff>25935</xdr:rowOff>
    </xdr:to>
    <xdr:sp macro="[0]!AllerCoefBUT1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5243438" y="2093747"/>
          <a:ext cx="2601638" cy="789688"/>
        </a:xfrm>
        <a:prstGeom prst="roundRect">
          <a:avLst/>
        </a:prstGeom>
        <a:ln w="381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baseline="0"/>
            <a:t>Simuler mon année</a:t>
          </a:r>
          <a:endParaRPr lang="fr-FR"/>
        </a:p>
      </xdr:txBody>
    </xdr:sp>
    <xdr:clientData/>
  </xdr:twoCellAnchor>
  <xdr:twoCellAnchor>
    <xdr:from>
      <xdr:col>1</xdr:col>
      <xdr:colOff>66260</xdr:colOff>
      <xdr:row>21</xdr:row>
      <xdr:rowOff>40715</xdr:rowOff>
    </xdr:from>
    <xdr:to>
      <xdr:col>6</xdr:col>
      <xdr:colOff>504019</xdr:colOff>
      <xdr:row>25</xdr:row>
      <xdr:rowOff>103651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57568" y="3856577"/>
          <a:ext cx="4394297" cy="789766"/>
          <a:chOff x="819977" y="3618802"/>
          <a:chExt cx="4247759" cy="824936"/>
        </a:xfrm>
      </xdr:grpSpPr>
      <xdr:sp macro="[0]!SupprimerNotes.SupprimerNotes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819977" y="3618802"/>
            <a:ext cx="3578089" cy="789688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grpSp>
        <xdr:nvGrpSpPr>
          <xdr:cNvPr id="10" name="Group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988418" y="3710406"/>
            <a:ext cx="658346" cy="599292"/>
            <a:chOff x="1192339" y="3997457"/>
            <a:chExt cx="726948" cy="585216"/>
          </a:xfrm>
          <a:solidFill>
            <a:srgbClr val="FF0000"/>
          </a:solidFill>
        </xdr:grpSpPr>
        <xdr:sp macro="[0]!SupprimerNotes.SupprimerNotes" textlink="">
          <xdr:nvSpPr>
            <xdr:cNvPr id="14" name="Rectangle : coins arrondis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192339" y="3997457"/>
              <a:ext cx="726948" cy="585216"/>
            </a:xfrm>
            <a:prstGeom prst="roundRect">
              <a:avLst/>
            </a:prstGeom>
            <a:grpFill/>
            <a:ln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  <xdr:pic macro="[0]!SupprimerNotes.SupprimerNotes">
          <xdr:nvPicPr>
            <xdr:cNvPr id="15" name="Image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63205" y="3997457"/>
              <a:ext cx="585216" cy="585216"/>
            </a:xfrm>
            <a:prstGeom prst="rect">
              <a:avLst/>
            </a:prstGeom>
            <a:grpFill/>
            <a:ln>
              <a:solidFill>
                <a:schemeClr val="bg2">
                  <a:lumMod val="75000"/>
                </a:schemeClr>
              </a:solidFill>
            </a:ln>
          </xdr:spPr>
        </xdr:pic>
      </xdr:grpSp>
      <xdr:sp macro="[0]!SupprimerNotes.SupprimerNotes" textlink="">
        <xdr:nvSpPr>
          <xdr:cNvPr id="27" name="ZoneTexte 39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20798" y="3781861"/>
            <a:ext cx="3346938" cy="66187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/>
              <a:t>Tout</a:t>
            </a:r>
            <a:r>
              <a:rPr lang="fr-FR" baseline="0"/>
              <a:t> supprimer </a:t>
            </a:r>
            <a:endParaRPr lang="fr-FR"/>
          </a:p>
          <a:p>
            <a:endParaRPr lang="fr-FR"/>
          </a:p>
        </xdr:txBody>
      </xdr:sp>
    </xdr:grpSp>
    <xdr:clientData/>
  </xdr:twoCellAnchor>
  <xdr:twoCellAnchor>
    <xdr:from>
      <xdr:col>1</xdr:col>
      <xdr:colOff>58784</xdr:colOff>
      <xdr:row>10</xdr:row>
      <xdr:rowOff>120886</xdr:rowOff>
    </xdr:from>
    <xdr:to>
      <xdr:col>6</xdr:col>
      <xdr:colOff>460066</xdr:colOff>
      <xdr:row>15</xdr:row>
      <xdr:rowOff>63213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/>
      </xdr:nvGrpSpPr>
      <xdr:grpSpPr>
        <a:xfrm>
          <a:off x="850092" y="1937963"/>
          <a:ext cx="4357820" cy="850865"/>
          <a:chOff x="845631" y="1586908"/>
          <a:chExt cx="4211282" cy="894827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845631" y="1586908"/>
            <a:ext cx="3557849" cy="789688"/>
            <a:chOff x="845631" y="1545495"/>
            <a:chExt cx="3557849" cy="789688"/>
          </a:xfrm>
        </xdr:grpSpPr>
        <xdr:sp macro="[0]!AjoutNo" textlink="">
          <xdr:nvSpPr>
            <xdr:cNvPr id="22" name="Rectangle : coins arrondis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/>
          </xdr:nvSpPr>
          <xdr:spPr>
            <a:xfrm>
              <a:off x="845631" y="1545495"/>
              <a:ext cx="3557849" cy="789688"/>
            </a:xfrm>
            <a:prstGeom prst="roundRect">
              <a:avLst/>
            </a:prstGeom>
            <a:solidFill>
              <a:schemeClr val="accent1">
                <a:lumMod val="40000"/>
                <a:lumOff val="60000"/>
              </a:schemeClr>
            </a:solidFill>
            <a:ln w="38100">
              <a:solidFill>
                <a:schemeClr val="bg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fr-FR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fr-FR"/>
            </a:p>
          </xdr:txBody>
        </xdr:sp>
        <xdr:grpSp>
          <xdr:nvGrpSpPr>
            <xdr:cNvPr id="23" name="Groupe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1021550" y="1653297"/>
              <a:ext cx="658346" cy="599292"/>
              <a:chOff x="743140" y="1889759"/>
              <a:chExt cx="726948" cy="585216"/>
            </a:xfrm>
            <a:solidFill>
              <a:schemeClr val="accent1">
                <a:lumMod val="20000"/>
                <a:lumOff val="80000"/>
              </a:schemeClr>
            </a:solidFill>
          </xdr:grpSpPr>
          <xdr:sp macro="[0]!AjoutNo" textlink="">
            <xdr:nvSpPr>
              <xdr:cNvPr id="25" name="Rectangle : coins arrondis 24"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SpPr/>
            </xdr:nvSpPr>
            <xdr:spPr>
              <a:xfrm>
                <a:off x="743140" y="1889759"/>
                <a:ext cx="726948" cy="585216"/>
              </a:xfrm>
              <a:prstGeom prst="roundRect">
                <a:avLst/>
              </a:prstGeom>
              <a:grpFill/>
              <a:ln>
                <a:solidFill>
                  <a:schemeClr val="bg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fr-FR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fr-FR"/>
              </a:p>
            </xdr:txBody>
          </xdr:sp>
          <xdr:pic macro="[0]!AjoutNo">
            <xdr:nvPicPr>
              <xdr:cNvPr id="26" name="Image 25">
                <a:extLst>
                  <a:ext uri="{FF2B5EF4-FFF2-40B4-BE49-F238E27FC236}">
                    <a16:creationId xmlns:a16="http://schemas.microsoft.com/office/drawing/2014/main" id="{00000000-0008-0000-0100-00001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882776" y="1958529"/>
                <a:ext cx="447675" cy="447675"/>
              </a:xfrm>
              <a:prstGeom prst="rect">
                <a:avLst/>
              </a:prstGeom>
              <a:grpFill/>
              <a:ln>
                <a:solidFill>
                  <a:schemeClr val="bg2">
                    <a:lumMod val="75000"/>
                  </a:schemeClr>
                </a:solidFill>
              </a:ln>
            </xdr:spPr>
          </xdr:pic>
        </xdr:grpSp>
      </xdr:grpSp>
      <xdr:sp macro="[0]!AjoutNo" textlink="">
        <xdr:nvSpPr>
          <xdr:cNvPr id="29" name="ZoneTexte 39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1709975" y="1819858"/>
            <a:ext cx="3346938" cy="66187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/>
              <a:t>Ajouter</a:t>
            </a:r>
            <a:r>
              <a:rPr lang="fr-FR" baseline="0"/>
              <a:t> une note</a:t>
            </a:r>
            <a:endParaRPr lang="fr-FR"/>
          </a:p>
          <a:p>
            <a:endParaRPr lang="fr-FR"/>
          </a:p>
        </xdr:txBody>
      </xdr:sp>
    </xdr:grpSp>
    <xdr:clientData/>
  </xdr:twoCellAnchor>
  <xdr:twoCellAnchor>
    <xdr:from>
      <xdr:col>1</xdr:col>
      <xdr:colOff>52670</xdr:colOff>
      <xdr:row>15</xdr:row>
      <xdr:rowOff>162021</xdr:rowOff>
    </xdr:from>
    <xdr:to>
      <xdr:col>6</xdr:col>
      <xdr:colOff>397007</xdr:colOff>
      <xdr:row>20</xdr:row>
      <xdr:rowOff>75394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843978" y="2887636"/>
          <a:ext cx="4300875" cy="821912"/>
          <a:chOff x="822952" y="2563977"/>
          <a:chExt cx="4154337" cy="865873"/>
        </a:xfrm>
      </xdr:grpSpPr>
      <xdr:sp macro="[0]!supprimerModifier.supprimerModifier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22952" y="2563977"/>
            <a:ext cx="3599961" cy="789688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sp macro="[0]!supprimerModifier.supprimerModifier" textlink="">
        <xdr:nvSpPr>
          <xdr:cNvPr id="20" name="Rectangle : coins arrondis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021550" y="2658426"/>
            <a:ext cx="658346" cy="599292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pic macro="[0]!supprimerModifier.supprimerModifier">
        <xdr:nvPicPr>
          <xdr:cNvPr id="8" name="Imag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16435" y="2713633"/>
            <a:ext cx="468572" cy="529844"/>
          </a:xfrm>
          <a:prstGeom prst="rect">
            <a:avLst/>
          </a:prstGeom>
          <a:ln>
            <a:solidFill>
              <a:schemeClr val="bg2">
                <a:lumMod val="75000"/>
              </a:schemeClr>
            </a:solidFill>
          </a:ln>
        </xdr:spPr>
      </xdr:pic>
      <xdr:sp macro="[0]!supprimerModifier.supprimerModifier" textlink="">
        <xdr:nvSpPr>
          <xdr:cNvPr id="30" name="ZoneTexte 3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1630351" y="2767973"/>
            <a:ext cx="3346938" cy="66187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fr-FR" sz="1600"/>
              <a:t>Supprimer</a:t>
            </a:r>
            <a:r>
              <a:rPr lang="fr-FR"/>
              <a:t>/</a:t>
            </a:r>
            <a:r>
              <a:rPr lang="fr-FR" sz="1600"/>
              <a:t>Modifier</a:t>
            </a:r>
            <a:r>
              <a:rPr lang="fr-FR"/>
              <a:t> une note</a:t>
            </a:r>
          </a:p>
          <a:p>
            <a:endParaRPr lang="fr-FR"/>
          </a:p>
        </xdr:txBody>
      </xdr:sp>
    </xdr:grpSp>
    <xdr:clientData/>
  </xdr:twoCellAnchor>
  <xdr:twoCellAnchor>
    <xdr:from>
      <xdr:col>6</xdr:col>
      <xdr:colOff>632791</xdr:colOff>
      <xdr:row>17</xdr:row>
      <xdr:rowOff>17393</xdr:rowOff>
    </xdr:from>
    <xdr:to>
      <xdr:col>10</xdr:col>
      <xdr:colOff>194641</xdr:colOff>
      <xdr:row>21</xdr:row>
      <xdr:rowOff>7868</xdr:rowOff>
    </xdr:to>
    <xdr:sp macro="[0]!AllerFeuilleDonnees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204791" y="3255893"/>
          <a:ext cx="2609850" cy="752475"/>
        </a:xfrm>
        <a:prstGeom prst="roundRect">
          <a:avLst/>
        </a:prstGeom>
        <a:ln w="38100"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fr-FR" sz="1800"/>
            <a:t>Voir</a:t>
          </a:r>
          <a:r>
            <a:rPr lang="fr-FR" sz="1800" baseline="0"/>
            <a:t> mes notes</a:t>
          </a:r>
          <a:endParaRPr lang="fr-FR" sz="1800"/>
        </a:p>
      </xdr:txBody>
    </xdr:sp>
    <xdr:clientData/>
  </xdr:twoCellAnchor>
  <xdr:twoCellAnchor>
    <xdr:from>
      <xdr:col>2</xdr:col>
      <xdr:colOff>74543</xdr:colOff>
      <xdr:row>6</xdr:row>
      <xdr:rowOff>8282</xdr:rowOff>
    </xdr:from>
    <xdr:to>
      <xdr:col>4</xdr:col>
      <xdr:colOff>364436</xdr:colOff>
      <xdr:row>8</xdr:row>
      <xdr:rowOff>107673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1598543" y="1151282"/>
          <a:ext cx="1813893" cy="480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 b="1" i="1" u="none"/>
            <a:t>T'AS PEUR ?</a:t>
          </a:r>
        </a:p>
      </xdr:txBody>
    </xdr:sp>
    <xdr:clientData/>
  </xdr:twoCellAnchor>
  <xdr:twoCellAnchor>
    <xdr:from>
      <xdr:col>2</xdr:col>
      <xdr:colOff>435156</xdr:colOff>
      <xdr:row>26</xdr:row>
      <xdr:rowOff>45841</xdr:rowOff>
    </xdr:from>
    <xdr:to>
      <xdr:col>4</xdr:col>
      <xdr:colOff>117231</xdr:colOff>
      <xdr:row>31</xdr:row>
      <xdr:rowOff>150236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156" y="4998841"/>
          <a:ext cx="1206075" cy="1056895"/>
        </a:xfrm>
        <a:prstGeom prst="rect">
          <a:avLst/>
        </a:prstGeom>
      </xdr:spPr>
    </xdr:pic>
    <xdr:clientData/>
  </xdr:twoCellAnchor>
  <xdr:twoCellAnchor>
    <xdr:from>
      <xdr:col>2</xdr:col>
      <xdr:colOff>630116</xdr:colOff>
      <xdr:row>26</xdr:row>
      <xdr:rowOff>43959</xdr:rowOff>
    </xdr:from>
    <xdr:to>
      <xdr:col>3</xdr:col>
      <xdr:colOff>747346</xdr:colOff>
      <xdr:row>31</xdr:row>
      <xdr:rowOff>29306</xdr:rowOff>
    </xdr:to>
    <xdr:sp macro="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2154116" y="4996959"/>
          <a:ext cx="879230" cy="937847"/>
        </a:xfrm>
        <a:prstGeom prst="roundRect">
          <a:avLst/>
        </a:prstGeom>
        <a:noFill/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</xdr:row>
          <xdr:rowOff>38100</xdr:rowOff>
        </xdr:from>
        <xdr:to>
          <xdr:col>7</xdr:col>
          <xdr:colOff>182880</xdr:colOff>
          <xdr:row>4</xdr:row>
          <xdr:rowOff>22860</xdr:rowOff>
        </xdr:to>
        <xdr:sp macro="" textlink="">
          <xdr:nvSpPr>
            <xdr:cNvPr id="3073" name="retourMenu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1:O57"/>
  <sheetViews>
    <sheetView topLeftCell="A8" zoomScale="85" zoomScaleNormal="85" workbookViewId="0">
      <selection activeCell="E40" sqref="E40"/>
    </sheetView>
  </sheetViews>
  <sheetFormatPr baseColWidth="10" defaultColWidth="0" defaultRowHeight="14.4" zeroHeight="1" x14ac:dyDescent="0.3"/>
  <cols>
    <col min="1" max="1" width="35.109375" style="111" customWidth="1"/>
    <col min="2" max="2" width="65.88671875" style="111" bestFit="1" customWidth="1"/>
    <col min="3" max="3" width="10.6640625" style="111" customWidth="1"/>
    <col min="4" max="4" width="19.44140625" style="111" bestFit="1" customWidth="1"/>
    <col min="5" max="5" width="2.5546875" style="111" customWidth="1"/>
    <col min="6" max="7" width="2.6640625" style="112" customWidth="1"/>
    <col min="8" max="8" width="15.33203125" style="112" customWidth="1"/>
    <col min="9" max="9" width="2.5546875" style="112" customWidth="1"/>
    <col min="10" max="10" width="15.33203125" style="112" customWidth="1"/>
    <col min="11" max="11" width="52.109375" style="112" customWidth="1"/>
    <col min="12" max="12" width="2.5546875" style="112" customWidth="1"/>
    <col min="13" max="13" width="36.88671875" style="112" customWidth="1"/>
    <col min="14" max="14" width="20.6640625" style="112" customWidth="1"/>
    <col min="15" max="15" width="0" style="112" hidden="1" customWidth="1"/>
    <col min="16" max="16384" width="47.44140625" style="112" hidden="1"/>
  </cols>
  <sheetData>
    <row r="1" spans="1:14" s="79" customFormat="1" x14ac:dyDescent="0.3">
      <c r="A1" s="52"/>
      <c r="B1" s="52"/>
      <c r="C1" s="52"/>
      <c r="D1" s="52"/>
      <c r="E1" s="52"/>
      <c r="F1" s="80"/>
      <c r="G1" s="80"/>
      <c r="H1" s="53"/>
      <c r="I1" s="53"/>
      <c r="J1" s="53"/>
      <c r="K1" s="53"/>
      <c r="L1" s="52"/>
      <c r="M1" s="52"/>
      <c r="N1" s="52"/>
    </row>
    <row r="2" spans="1:14" s="79" customFormat="1" x14ac:dyDescent="0.3">
      <c r="A2" s="54"/>
      <c r="B2" s="23"/>
      <c r="C2" s="55"/>
      <c r="D2" s="23"/>
      <c r="E2" s="56"/>
      <c r="F2" s="82"/>
      <c r="G2" s="80"/>
      <c r="H2" s="53"/>
      <c r="I2" s="53"/>
      <c r="J2" s="53"/>
      <c r="K2" s="53"/>
      <c r="L2" s="53"/>
      <c r="M2" s="53"/>
      <c r="N2" s="53"/>
    </row>
    <row r="3" spans="1:14" s="79" customFormat="1" ht="15" customHeight="1" x14ac:dyDescent="0.35">
      <c r="A3" s="51" t="s">
        <v>0</v>
      </c>
      <c r="B3" s="51"/>
      <c r="C3" s="51"/>
      <c r="D3" s="30" t="s">
        <v>39</v>
      </c>
      <c r="E3" s="22"/>
      <c r="F3" s="82"/>
      <c r="G3" s="80"/>
      <c r="H3" s="53"/>
      <c r="I3" s="53"/>
      <c r="J3" s="53"/>
      <c r="K3" s="53"/>
      <c r="L3" s="53"/>
      <c r="M3" s="53"/>
      <c r="N3" s="53"/>
    </row>
    <row r="4" spans="1:14" s="79" customFormat="1" ht="15" customHeight="1" x14ac:dyDescent="0.3">
      <c r="A4" s="96" t="s">
        <v>1</v>
      </c>
      <c r="B4" s="5" t="s">
        <v>2</v>
      </c>
      <c r="C4" s="8">
        <v>15</v>
      </c>
      <c r="D4" s="92" t="str">
        <f>IFERROR(AVERAGEIF(Données!C:C, B4, Données!D:D), "")</f>
        <v/>
      </c>
      <c r="E4" s="22"/>
      <c r="F4" s="82"/>
      <c r="G4" s="80"/>
      <c r="H4" s="53"/>
      <c r="I4" s="53"/>
      <c r="J4" s="53"/>
      <c r="K4" s="53"/>
      <c r="L4" s="53"/>
      <c r="M4" s="53"/>
      <c r="N4" s="53"/>
    </row>
    <row r="5" spans="1:14" s="79" customFormat="1" x14ac:dyDescent="0.3">
      <c r="A5" s="97"/>
      <c r="B5" s="5" t="s">
        <v>3</v>
      </c>
      <c r="C5" s="8">
        <v>20</v>
      </c>
      <c r="D5" s="92" t="str">
        <f>IFERROR(AVERAGEIF(Données!C:C, B5, Données!D:D), "")</f>
        <v/>
      </c>
      <c r="E5" s="22"/>
      <c r="F5" s="82"/>
      <c r="G5" s="80"/>
      <c r="H5" s="53"/>
      <c r="I5" s="53"/>
      <c r="J5" s="53"/>
      <c r="K5" s="53"/>
      <c r="L5" s="53"/>
      <c r="M5" s="53"/>
      <c r="N5" s="53"/>
    </row>
    <row r="6" spans="1:14" s="79" customFormat="1" x14ac:dyDescent="0.3">
      <c r="A6" s="97"/>
      <c r="B6" s="5" t="s">
        <v>4</v>
      </c>
      <c r="C6" s="8">
        <v>20</v>
      </c>
      <c r="D6" s="92" t="str">
        <f>IFERROR(AVERAGEIF(Données!C:C, B6, Données!D:D), "")</f>
        <v/>
      </c>
      <c r="E6" s="22"/>
      <c r="F6" s="82"/>
      <c r="G6" s="80"/>
      <c r="H6" s="53"/>
      <c r="I6" s="53"/>
      <c r="J6" s="53"/>
      <c r="K6" s="53"/>
      <c r="L6" s="53"/>
      <c r="M6" s="53"/>
      <c r="N6" s="53"/>
    </row>
    <row r="7" spans="1:14" s="79" customFormat="1" x14ac:dyDescent="0.3">
      <c r="A7" s="97"/>
      <c r="B7" s="1" t="s">
        <v>5</v>
      </c>
      <c r="C7" s="8">
        <v>5</v>
      </c>
      <c r="D7" s="92" t="str">
        <f>IFERROR(AVERAGEIF(Données!C:C, B7, Données!D:D), "")</f>
        <v/>
      </c>
      <c r="E7" s="22"/>
      <c r="F7" s="82"/>
      <c r="G7" s="80"/>
      <c r="H7" s="53"/>
      <c r="I7" s="53"/>
      <c r="J7" s="53"/>
      <c r="K7" s="53"/>
      <c r="L7" s="53"/>
      <c r="M7" s="53"/>
      <c r="N7" s="53"/>
    </row>
    <row r="8" spans="1:14" s="79" customFormat="1" x14ac:dyDescent="0.3">
      <c r="A8" s="97"/>
      <c r="B8" s="5" t="s">
        <v>61</v>
      </c>
      <c r="C8" s="8">
        <v>30</v>
      </c>
      <c r="D8" s="92" t="str">
        <f>IFERROR(AVERAGEIF(Données!C:C, B8, Données!D:D), "")</f>
        <v/>
      </c>
      <c r="E8" s="22"/>
      <c r="F8" s="82"/>
      <c r="G8" s="80"/>
      <c r="H8" s="53"/>
      <c r="I8" s="53"/>
      <c r="J8" s="53"/>
      <c r="K8" s="53"/>
      <c r="L8" s="53"/>
      <c r="M8" s="53"/>
      <c r="N8" s="53"/>
    </row>
    <row r="9" spans="1:14" s="79" customFormat="1" x14ac:dyDescent="0.3">
      <c r="A9" s="98"/>
      <c r="B9" s="24" t="s">
        <v>6</v>
      </c>
      <c r="C9" s="32">
        <v>10</v>
      </c>
      <c r="D9" s="92" t="str">
        <f>IFERROR(AVERAGEIF(Données!C:C, B9, Données!D:D), "")</f>
        <v/>
      </c>
      <c r="E9" s="22"/>
      <c r="F9" s="82"/>
      <c r="G9" s="80"/>
      <c r="H9" s="53"/>
      <c r="I9" s="53"/>
      <c r="J9" s="53"/>
      <c r="K9" s="53"/>
      <c r="L9" s="53"/>
      <c r="M9" s="53"/>
      <c r="N9" s="53"/>
    </row>
    <row r="10" spans="1:14" s="79" customFormat="1" ht="15" customHeight="1" x14ac:dyDescent="0.3">
      <c r="A10" s="26"/>
      <c r="B10" s="27"/>
      <c r="C10" s="28"/>
      <c r="D10" s="48"/>
      <c r="E10" s="21"/>
      <c r="F10" s="82"/>
      <c r="G10" s="80"/>
      <c r="H10" s="53"/>
      <c r="I10" s="53"/>
      <c r="J10" s="53"/>
      <c r="K10" s="53"/>
      <c r="L10" s="53"/>
      <c r="M10" s="53"/>
      <c r="N10" s="53"/>
    </row>
    <row r="11" spans="1:14" s="79" customFormat="1" ht="15" customHeight="1" x14ac:dyDescent="0.3">
      <c r="A11" s="99" t="s">
        <v>7</v>
      </c>
      <c r="B11" s="25" t="s">
        <v>8</v>
      </c>
      <c r="C11" s="33">
        <v>20</v>
      </c>
      <c r="D11" s="92" t="str">
        <f>IFERROR(AVERAGEIF(Données!C:C, B11, Données!D:D), "")</f>
        <v/>
      </c>
      <c r="E11" s="22"/>
      <c r="F11" s="82"/>
      <c r="G11" s="80"/>
      <c r="H11" s="53"/>
      <c r="I11" s="53"/>
      <c r="J11" s="53"/>
      <c r="K11" s="53"/>
      <c r="L11" s="53"/>
      <c r="M11" s="53"/>
      <c r="N11" s="53"/>
    </row>
    <row r="12" spans="1:14" s="79" customFormat="1" x14ac:dyDescent="0.3">
      <c r="A12" s="100"/>
      <c r="B12" s="4" t="s">
        <v>9</v>
      </c>
      <c r="C12" s="34">
        <v>15</v>
      </c>
      <c r="D12" s="92" t="str">
        <f>IFERROR(AVERAGEIF(Données!C:C, B12, Données!D:D), "")</f>
        <v/>
      </c>
      <c r="E12" s="22"/>
      <c r="F12" s="82"/>
      <c r="G12" s="80"/>
      <c r="H12" s="53"/>
      <c r="I12" s="53"/>
      <c r="J12" s="53"/>
      <c r="K12" s="53"/>
      <c r="L12" s="53"/>
      <c r="M12" s="53"/>
      <c r="N12" s="53"/>
    </row>
    <row r="13" spans="1:14" s="79" customFormat="1" x14ac:dyDescent="0.3">
      <c r="A13" s="100"/>
      <c r="B13" s="4" t="s">
        <v>10</v>
      </c>
      <c r="C13" s="34">
        <v>20</v>
      </c>
      <c r="D13" s="92" t="str">
        <f>IFERROR(AVERAGEIF(Données!C:C, B13, Données!D:D), "")</f>
        <v/>
      </c>
      <c r="E13" s="22"/>
      <c r="F13" s="82"/>
      <c r="G13" s="80"/>
      <c r="H13" s="53"/>
      <c r="I13" s="52"/>
      <c r="J13" s="114" t="s">
        <v>45</v>
      </c>
      <c r="K13" s="115"/>
      <c r="L13" s="53"/>
      <c r="M13" s="53"/>
      <c r="N13" s="113"/>
    </row>
    <row r="14" spans="1:14" s="79" customFormat="1" ht="15" customHeight="1" x14ac:dyDescent="0.3">
      <c r="A14" s="100"/>
      <c r="B14" s="1" t="s">
        <v>5</v>
      </c>
      <c r="C14" s="34">
        <v>5</v>
      </c>
      <c r="D14" s="92" t="str">
        <f>IFERROR(AVERAGEIF(Données!C:C, B14, Données!D:D), "")</f>
        <v/>
      </c>
      <c r="E14" s="22"/>
      <c r="F14" s="82"/>
      <c r="G14" s="80"/>
      <c r="H14" s="53"/>
      <c r="I14" s="57"/>
      <c r="J14" s="115"/>
      <c r="K14" s="115"/>
      <c r="L14" s="53"/>
      <c r="M14" s="53"/>
      <c r="N14" s="113"/>
    </row>
    <row r="15" spans="1:14" s="79" customFormat="1" ht="28.8" x14ac:dyDescent="0.3">
      <c r="A15" s="101"/>
      <c r="B15" s="4" t="s">
        <v>11</v>
      </c>
      <c r="C15" s="34">
        <v>40</v>
      </c>
      <c r="D15" s="92" t="str">
        <f>IFERROR(AVERAGEIF(Données!C:C, B15, Données!D:D), "")</f>
        <v/>
      </c>
      <c r="E15" s="22"/>
      <c r="F15" s="82"/>
      <c r="G15" s="80"/>
      <c r="H15" s="53"/>
      <c r="I15" s="57"/>
      <c r="J15" s="115"/>
      <c r="K15" s="115"/>
      <c r="L15" s="53"/>
      <c r="M15" s="53"/>
      <c r="N15" s="113"/>
    </row>
    <row r="16" spans="1:14" s="79" customFormat="1" ht="15" customHeight="1" x14ac:dyDescent="0.3">
      <c r="A16" s="17"/>
      <c r="B16" s="18"/>
      <c r="C16" s="19"/>
      <c r="D16" s="48"/>
      <c r="E16" s="21"/>
      <c r="F16" s="82"/>
      <c r="G16" s="80"/>
      <c r="H16" s="52"/>
      <c r="I16" s="52"/>
      <c r="J16" s="52"/>
      <c r="K16" s="52"/>
      <c r="L16" s="53"/>
      <c r="M16" s="53"/>
      <c r="N16" s="113"/>
    </row>
    <row r="17" spans="1:14" s="79" customFormat="1" ht="15" customHeight="1" x14ac:dyDescent="0.3">
      <c r="A17" s="102" t="s">
        <v>12</v>
      </c>
      <c r="B17" s="16" t="s">
        <v>13</v>
      </c>
      <c r="C17" s="35">
        <v>15</v>
      </c>
      <c r="D17" s="92" t="str">
        <f>IFERROR(AVERAGEIF(Données!C:C, B17, Données!D:D), "")</f>
        <v/>
      </c>
      <c r="E17" s="22"/>
      <c r="F17" s="82"/>
      <c r="G17" s="80"/>
      <c r="H17" s="52"/>
      <c r="I17" s="52"/>
      <c r="J17" s="52"/>
      <c r="K17" s="52"/>
      <c r="L17" s="53"/>
      <c r="M17" s="53"/>
      <c r="N17" s="113"/>
    </row>
    <row r="18" spans="1:14" s="79" customFormat="1" x14ac:dyDescent="0.3">
      <c r="A18" s="103"/>
      <c r="B18" s="3" t="s">
        <v>14</v>
      </c>
      <c r="C18" s="36">
        <v>15</v>
      </c>
      <c r="D18" s="92" t="str">
        <f>IFERROR(AVERAGEIF(Données!C:C, B18, Données!D:D), "")</f>
        <v/>
      </c>
      <c r="E18" s="22"/>
      <c r="F18" s="82"/>
      <c r="G18" s="80"/>
      <c r="H18" s="52"/>
      <c r="I18" s="52"/>
      <c r="J18" s="52"/>
      <c r="K18" s="52"/>
      <c r="L18" s="53"/>
      <c r="M18" s="53"/>
      <c r="N18" s="113"/>
    </row>
    <row r="19" spans="1:14" s="79" customFormat="1" x14ac:dyDescent="0.3">
      <c r="A19" s="103"/>
      <c r="B19" s="3" t="s">
        <v>15</v>
      </c>
      <c r="C19" s="36">
        <v>25</v>
      </c>
      <c r="D19" s="92" t="str">
        <f>IFERROR(AVERAGEIF(Données!C:C, B19, Données!D:D), "")</f>
        <v/>
      </c>
      <c r="E19" s="22"/>
      <c r="F19" s="82"/>
      <c r="G19" s="81"/>
      <c r="H19" s="52"/>
      <c r="I19" s="52"/>
      <c r="J19" s="52"/>
      <c r="K19" s="52"/>
      <c r="L19" s="53"/>
      <c r="M19" s="53"/>
      <c r="N19" s="113"/>
    </row>
    <row r="20" spans="1:14" s="79" customFormat="1" x14ac:dyDescent="0.3">
      <c r="A20" s="103"/>
      <c r="B20" s="1" t="s">
        <v>5</v>
      </c>
      <c r="C20" s="36">
        <v>5</v>
      </c>
      <c r="D20" s="92" t="str">
        <f>IFERROR(AVERAGEIF(Données!C:C, B20, Données!D:D), "")</f>
        <v/>
      </c>
      <c r="E20" s="22"/>
      <c r="F20" s="82"/>
      <c r="G20" s="81"/>
      <c r="H20" s="52"/>
      <c r="I20" s="88"/>
      <c r="J20" s="89"/>
      <c r="K20" s="90"/>
      <c r="L20" s="91"/>
      <c r="M20" s="53"/>
      <c r="N20" s="113"/>
    </row>
    <row r="21" spans="1:14" s="79" customFormat="1" x14ac:dyDescent="0.3">
      <c r="A21" s="103"/>
      <c r="B21" s="3" t="s">
        <v>16</v>
      </c>
      <c r="C21" s="36">
        <v>15</v>
      </c>
      <c r="D21" s="92" t="str">
        <f>IFERROR(AVERAGEIF(Données!C:C, B21, Données!D:D), "")</f>
        <v/>
      </c>
      <c r="E21" s="22"/>
      <c r="F21" s="82"/>
      <c r="G21" s="81"/>
      <c r="H21" s="52"/>
      <c r="I21" s="47"/>
      <c r="J21" s="86"/>
      <c r="K21" s="87" t="s">
        <v>46</v>
      </c>
      <c r="L21" s="47"/>
      <c r="M21" s="53"/>
      <c r="N21" s="113"/>
    </row>
    <row r="22" spans="1:14" s="79" customFormat="1" x14ac:dyDescent="0.3">
      <c r="A22" s="103"/>
      <c r="B22" s="3" t="s">
        <v>17</v>
      </c>
      <c r="C22" s="36">
        <v>10</v>
      </c>
      <c r="D22" s="92" t="str">
        <f>IFERROR(AVERAGEIF(Données!C:C, B22, Données!D:D), "")</f>
        <v/>
      </c>
      <c r="E22" s="22"/>
      <c r="F22" s="82"/>
      <c r="G22" s="81"/>
      <c r="H22" s="52"/>
      <c r="I22" s="47"/>
      <c r="J22" s="38" t="s">
        <v>40</v>
      </c>
      <c r="K22" s="39" t="str" cm="1">
        <f t="array" ref="K22">IFERROR(SUMPRODUCT(($C$4:$C$9&lt;&gt;"")*($D$4:$D$9&lt;&gt;0),$C$4:$C$9,$D$4:$D$9) / SUMIF($D$4:$D$9, "&gt;0", $C$4:$C$9), "")</f>
        <v/>
      </c>
      <c r="L22" s="47"/>
      <c r="M22" s="53"/>
      <c r="N22" s="113"/>
    </row>
    <row r="23" spans="1:14" s="79" customFormat="1" x14ac:dyDescent="0.3">
      <c r="A23" s="104"/>
      <c r="B23" s="3" t="s">
        <v>18</v>
      </c>
      <c r="C23" s="36">
        <v>15</v>
      </c>
      <c r="D23" s="92" t="str">
        <f>IFERROR(AVERAGEIF(Données!C:C, B23, Données!D:D), "")</f>
        <v/>
      </c>
      <c r="E23" s="22"/>
      <c r="F23" s="82"/>
      <c r="G23" s="81"/>
      <c r="H23" s="52"/>
      <c r="I23" s="47"/>
      <c r="J23" s="40" t="s">
        <v>41</v>
      </c>
      <c r="K23" s="39" t="str" cm="1">
        <f t="array" ref="K23">IFERROR(SUMPRODUCT(($C$11:$C$15&lt;&gt;"")*($D$11:$D$15&lt;&gt;0), $C$11:$C$15, $D$11:$D$15) / SUMIF($D$11:$D$15, "&gt;0", $C$11:$C$15), "")</f>
        <v/>
      </c>
      <c r="L23" s="47"/>
      <c r="M23" s="53"/>
      <c r="N23" s="113"/>
    </row>
    <row r="24" spans="1:14" s="79" customFormat="1" x14ac:dyDescent="0.3">
      <c r="A24" s="13"/>
      <c r="B24" s="14"/>
      <c r="C24" s="15"/>
      <c r="D24" s="48"/>
      <c r="E24" s="21"/>
      <c r="F24" s="82"/>
      <c r="G24" s="81"/>
      <c r="H24" s="52"/>
      <c r="I24" s="47"/>
      <c r="J24" s="41" t="s">
        <v>42</v>
      </c>
      <c r="K24" s="39" t="str" cm="1">
        <f t="array" ref="K24">IFERROR(SUMPRODUCT(($C$17:$C$23&lt;&gt;"")*($D$17:$D$23&lt;&gt;0), $C$17:$C$23, $D$17:$D$23) / SUMIF($D$17:$D$23, "&gt;0", $C$17:$C$23), "")</f>
        <v/>
      </c>
      <c r="L24" s="47"/>
      <c r="M24" s="53"/>
      <c r="N24" s="113"/>
    </row>
    <row r="25" spans="1:14" s="79" customFormat="1" ht="15" customHeight="1" x14ac:dyDescent="0.35">
      <c r="A25" s="58" t="s">
        <v>19</v>
      </c>
      <c r="B25" s="59"/>
      <c r="C25" s="60"/>
      <c r="D25" s="31" t="s">
        <v>39</v>
      </c>
      <c r="E25" s="22"/>
      <c r="F25" s="82"/>
      <c r="G25" s="81"/>
      <c r="H25" s="52"/>
      <c r="I25" s="47"/>
      <c r="J25" s="30"/>
      <c r="K25" s="61" t="s">
        <v>47</v>
      </c>
      <c r="L25" s="47"/>
      <c r="M25" s="53"/>
      <c r="N25" s="113"/>
    </row>
    <row r="26" spans="1:14" s="79" customFormat="1" ht="15" customHeight="1" x14ac:dyDescent="0.3">
      <c r="A26" s="96" t="s">
        <v>1</v>
      </c>
      <c r="B26" s="49" t="s">
        <v>20</v>
      </c>
      <c r="C26" s="50">
        <v>10</v>
      </c>
      <c r="D26" s="92" t="str">
        <f>IFERROR(AVERAGEIF(Données!C:C, B26, Données!D:D), "")</f>
        <v/>
      </c>
      <c r="E26" s="22"/>
      <c r="F26" s="82"/>
      <c r="G26" s="81"/>
      <c r="H26" s="52"/>
      <c r="I26" s="47"/>
      <c r="J26" s="38" t="s">
        <v>40</v>
      </c>
      <c r="K26" s="39" t="str" cm="1">
        <f t="array" ref="K26">IFERROR(SUMPRODUCT(($D$26:$D$34&lt;&gt;"")*($C$26:$C$34&lt;&gt;0), $D$26:$D$34, $C$26:$C$34) / SUMIF($D$26:$D$34, "&gt;0", $C$26:$C$34), "")</f>
        <v/>
      </c>
      <c r="L26" s="47"/>
      <c r="M26" s="53"/>
      <c r="N26" s="113"/>
    </row>
    <row r="27" spans="1:14" s="79" customFormat="1" x14ac:dyDescent="0.3">
      <c r="A27" s="97"/>
      <c r="B27" s="6" t="s">
        <v>21</v>
      </c>
      <c r="C27" s="8">
        <v>15</v>
      </c>
      <c r="D27" s="92" t="str">
        <f>IFERROR(AVERAGEIF(Données!C:C, B27, Données!D:D), "")</f>
        <v/>
      </c>
      <c r="E27" s="22"/>
      <c r="F27" s="82"/>
      <c r="G27" s="81"/>
      <c r="H27" s="52"/>
      <c r="I27" s="47"/>
      <c r="J27" s="42" t="s">
        <v>41</v>
      </c>
      <c r="K27" s="39" t="str" cm="1">
        <f t="array" ref="K27">IFERROR(SUMPRODUCT(($D$36:$D$45&lt;&gt;"")*($C$36:$C$45&lt;&gt;0), $D$36:$D$45, $C$36:$C$45) / SUMIF($D$36:$D$45, "&gt;0", $C$36:$C$45), "")</f>
        <v/>
      </c>
      <c r="L27" s="47"/>
      <c r="M27" s="53"/>
      <c r="N27" s="113"/>
    </row>
    <row r="28" spans="1:14" s="79" customFormat="1" x14ac:dyDescent="0.3">
      <c r="A28" s="97"/>
      <c r="B28" s="6" t="s">
        <v>22</v>
      </c>
      <c r="C28" s="8">
        <v>15</v>
      </c>
      <c r="D28" s="92" t="str">
        <f>IFERROR(AVERAGEIF(Données!C:C, B28, Données!D:D), "")</f>
        <v/>
      </c>
      <c r="E28" s="68"/>
      <c r="F28" s="82"/>
      <c r="G28" s="81"/>
      <c r="H28" s="52"/>
      <c r="I28" s="47"/>
      <c r="J28" s="43" t="s">
        <v>42</v>
      </c>
      <c r="K28" s="39" t="str" cm="1">
        <f t="array" ref="K28">IFERROR(SUMPRODUCT(($D$47:$D$54&lt;&gt;"")*($C$47:$C$54&lt;&gt;0),$D$47:$D$54, $C$47:$C$54) / SUMIF($D$47:$D$54, "&gt;0", $C$47:$C$54), "")</f>
        <v/>
      </c>
      <c r="L28" s="47"/>
      <c r="M28" s="53"/>
      <c r="N28" s="113"/>
    </row>
    <row r="29" spans="1:14" s="79" customFormat="1" x14ac:dyDescent="0.3">
      <c r="A29" s="97"/>
      <c r="B29" s="6" t="s">
        <v>23</v>
      </c>
      <c r="C29" s="8">
        <v>15</v>
      </c>
      <c r="D29" s="92" t="str">
        <f>IFERROR(AVERAGEIF(Données!C:C, B29, Données!D:D), "")</f>
        <v/>
      </c>
      <c r="E29" s="68"/>
      <c r="F29" s="82"/>
      <c r="G29" s="81"/>
      <c r="H29" s="52"/>
      <c r="I29" s="22"/>
      <c r="J29" s="62"/>
      <c r="K29" s="63" t="s">
        <v>48</v>
      </c>
      <c r="L29" s="47"/>
      <c r="M29" s="53"/>
      <c r="N29" s="113"/>
    </row>
    <row r="30" spans="1:14" s="79" customFormat="1" ht="15.9" customHeight="1" x14ac:dyDescent="0.3">
      <c r="A30" s="97"/>
      <c r="B30" s="1" t="s">
        <v>24</v>
      </c>
      <c r="C30" s="8">
        <v>5</v>
      </c>
      <c r="D30" s="92" t="str">
        <f>IFERROR(AVERAGEIF(Données!C:C, B30, Données!D:D), "")</f>
        <v/>
      </c>
      <c r="E30" s="68"/>
      <c r="F30" s="82"/>
      <c r="G30" s="81"/>
      <c r="H30" s="52"/>
      <c r="I30" s="47"/>
      <c r="J30" s="64" t="s">
        <v>49</v>
      </c>
      <c r="K30" s="65" t="str">
        <f>IFERROR(AVERAGE($K$22,$K$26),"")</f>
        <v/>
      </c>
      <c r="L30" s="47"/>
      <c r="M30" s="53"/>
      <c r="N30" s="113"/>
    </row>
    <row r="31" spans="1:14" s="79" customFormat="1" ht="15.9" customHeight="1" x14ac:dyDescent="0.3">
      <c r="A31" s="97"/>
      <c r="B31" s="6" t="s">
        <v>25</v>
      </c>
      <c r="C31" s="8">
        <v>10</v>
      </c>
      <c r="D31" s="92" t="str">
        <f>IFERROR(AVERAGEIF(Données!C:C, B31, Données!D:D), "")</f>
        <v/>
      </c>
      <c r="E31" s="68"/>
      <c r="F31" s="82"/>
      <c r="G31" s="81"/>
      <c r="H31" s="52"/>
      <c r="I31" s="47"/>
      <c r="J31" s="66" t="s">
        <v>50</v>
      </c>
      <c r="K31" s="65" t="str">
        <f>IFERROR(AVERAGE($K$23,$K$27),"")</f>
        <v/>
      </c>
      <c r="L31" s="47"/>
      <c r="M31" s="53"/>
      <c r="N31" s="113"/>
    </row>
    <row r="32" spans="1:14" s="79" customFormat="1" x14ac:dyDescent="0.3">
      <c r="A32" s="97"/>
      <c r="B32" s="2" t="s">
        <v>26</v>
      </c>
      <c r="C32" s="8">
        <v>5</v>
      </c>
      <c r="D32" s="92" t="str">
        <f>IFERROR(AVERAGEIF(Données!C:C, B32, Données!D:D), "")</f>
        <v/>
      </c>
      <c r="E32" s="68"/>
      <c r="F32" s="82"/>
      <c r="G32" s="81"/>
      <c r="H32" s="52"/>
      <c r="I32" s="47"/>
      <c r="J32" s="67" t="s">
        <v>51</v>
      </c>
      <c r="K32" s="65" t="str">
        <f>IFERROR(AVERAGE($K$24,$K$28),"")</f>
        <v/>
      </c>
      <c r="L32" s="47"/>
      <c r="M32" s="53"/>
      <c r="N32" s="113"/>
    </row>
    <row r="33" spans="1:14" s="79" customFormat="1" x14ac:dyDescent="0.3">
      <c r="A33" s="97"/>
      <c r="B33" s="2" t="s">
        <v>27</v>
      </c>
      <c r="C33" s="8">
        <v>20</v>
      </c>
      <c r="D33" s="92" t="str">
        <f>IFERROR(AVERAGEIF(Données!C:C, B33, Données!D:D), "")</f>
        <v/>
      </c>
      <c r="E33" s="68"/>
      <c r="F33" s="82"/>
      <c r="G33" s="81"/>
      <c r="H33" s="52"/>
      <c r="I33" s="68"/>
      <c r="J33" s="29"/>
      <c r="K33" s="61" t="s">
        <v>43</v>
      </c>
      <c r="L33" s="47"/>
      <c r="M33" s="53"/>
      <c r="N33" s="113"/>
    </row>
    <row r="34" spans="1:14" s="79" customFormat="1" x14ac:dyDescent="0.3">
      <c r="A34" s="105"/>
      <c r="B34" s="1" t="s">
        <v>28</v>
      </c>
      <c r="C34" s="8">
        <v>5</v>
      </c>
      <c r="D34" s="92" t="str">
        <f>IFERROR(AVERAGEIF(Données!C:C, B34, Données!D:D), "")</f>
        <v/>
      </c>
      <c r="E34" s="68"/>
      <c r="F34" s="82"/>
      <c r="G34" s="80"/>
      <c r="H34" s="52"/>
      <c r="I34" s="68"/>
      <c r="J34" s="44" t="s">
        <v>0</v>
      </c>
      <c r="K34" s="65" t="str">
        <f>IFERROR(SUM($K$22:$K$24)/COUNT($K$22:$K$24),"")</f>
        <v/>
      </c>
      <c r="L34" s="22"/>
      <c r="M34" s="53"/>
      <c r="N34" s="113"/>
    </row>
    <row r="35" spans="1:14" s="79" customFormat="1" ht="15" customHeight="1" x14ac:dyDescent="0.3">
      <c r="A35" s="10"/>
      <c r="B35" s="11"/>
      <c r="C35" s="12"/>
      <c r="D35" s="48"/>
      <c r="E35" s="83"/>
      <c r="F35" s="82"/>
      <c r="G35" s="80"/>
      <c r="H35" s="52"/>
      <c r="I35" s="68"/>
      <c r="J35" s="69" t="s">
        <v>19</v>
      </c>
      <c r="K35" s="65" t="str">
        <f>IFERROR(SUM($K$26:$K$28)/COUNT($K$26:$K$28),"")</f>
        <v/>
      </c>
      <c r="L35" s="70"/>
      <c r="M35" s="53"/>
      <c r="N35" s="113"/>
    </row>
    <row r="36" spans="1:14" s="79" customFormat="1" ht="15" customHeight="1" x14ac:dyDescent="0.3">
      <c r="A36" s="106" t="s">
        <v>7</v>
      </c>
      <c r="B36" s="9" t="s">
        <v>29</v>
      </c>
      <c r="C36" s="37">
        <v>10</v>
      </c>
      <c r="D36" s="92" t="str">
        <f>IFERROR(AVERAGEIF(Données!C:C, B36, Données!D:D), "")</f>
        <v/>
      </c>
      <c r="E36" s="68"/>
      <c r="F36" s="82"/>
      <c r="G36" s="80"/>
      <c r="H36" s="52"/>
      <c r="I36" s="68"/>
      <c r="J36" s="30" t="s">
        <v>44</v>
      </c>
      <c r="K36" s="65" t="str">
        <f>IFERROR(SUM($K$34:$K$35)/COUNT($K$34:$K$35),"")</f>
        <v/>
      </c>
      <c r="L36" s="70"/>
      <c r="M36" s="53"/>
      <c r="N36" s="113"/>
    </row>
    <row r="37" spans="1:14" s="79" customFormat="1" x14ac:dyDescent="0.3">
      <c r="A37" s="107"/>
      <c r="B37" s="9" t="s">
        <v>30</v>
      </c>
      <c r="C37" s="37">
        <v>15</v>
      </c>
      <c r="D37" s="92" t="str">
        <f>IFERROR(AVERAGEIF(Données!C:C, B37, Données!D:D), "")</f>
        <v/>
      </c>
      <c r="E37" s="68"/>
      <c r="F37" s="82"/>
      <c r="G37" s="80"/>
      <c r="H37" s="52"/>
      <c r="I37" s="84"/>
      <c r="J37" s="45"/>
      <c r="K37" s="46"/>
      <c r="L37" s="71"/>
      <c r="M37" s="53"/>
      <c r="N37" s="113"/>
    </row>
    <row r="38" spans="1:14" s="79" customFormat="1" x14ac:dyDescent="0.3">
      <c r="A38" s="107"/>
      <c r="B38" s="9" t="s">
        <v>31</v>
      </c>
      <c r="C38" s="37">
        <v>15</v>
      </c>
      <c r="D38" s="92" t="str">
        <f>IFERROR(AVERAGEIF(Données!C:C, B38, Données!D:D), "")</f>
        <v/>
      </c>
      <c r="E38" s="68"/>
      <c r="F38" s="82"/>
      <c r="G38" s="80"/>
      <c r="H38" s="52"/>
      <c r="I38" s="53"/>
      <c r="J38" s="53"/>
      <c r="K38" s="53"/>
      <c r="L38" s="53"/>
      <c r="M38" s="53"/>
      <c r="N38" s="113"/>
    </row>
    <row r="39" spans="1:14" s="79" customFormat="1" x14ac:dyDescent="0.3">
      <c r="A39" s="107"/>
      <c r="B39" s="9" t="s">
        <v>32</v>
      </c>
      <c r="C39" s="37">
        <v>15</v>
      </c>
      <c r="D39" s="92" t="str">
        <f>IFERROR(AVERAGEIF(Données!C:C, B39, Données!D:D), "")</f>
        <v/>
      </c>
      <c r="E39" s="68"/>
      <c r="F39" s="82"/>
      <c r="G39" s="80"/>
      <c r="H39" s="52"/>
      <c r="I39" s="85"/>
      <c r="J39" s="72"/>
      <c r="K39" s="72"/>
      <c r="L39" s="56"/>
      <c r="M39" s="53"/>
      <c r="N39" s="113"/>
    </row>
    <row r="40" spans="1:14" s="79" customFormat="1" x14ac:dyDescent="0.3">
      <c r="A40" s="107"/>
      <c r="B40" s="1" t="s">
        <v>24</v>
      </c>
      <c r="C40" s="37">
        <v>5</v>
      </c>
      <c r="D40" s="92" t="str">
        <f>IFERROR(AVERAGEIF(Données!C:C, B40, Données!D:D), "")</f>
        <v/>
      </c>
      <c r="E40" s="68"/>
      <c r="F40" s="82"/>
      <c r="G40" s="80"/>
      <c r="H40" s="52"/>
      <c r="I40" s="68"/>
      <c r="J40" s="29"/>
      <c r="K40" s="73" t="s">
        <v>52</v>
      </c>
      <c r="L40" s="21"/>
      <c r="M40" s="53"/>
      <c r="N40" s="113"/>
    </row>
    <row r="41" spans="1:14" s="79" customFormat="1" x14ac:dyDescent="0.3">
      <c r="A41" s="107"/>
      <c r="B41" s="9" t="s">
        <v>33</v>
      </c>
      <c r="C41" s="37">
        <v>10</v>
      </c>
      <c r="D41" s="92" t="str">
        <f>IFERROR(AVERAGEIF(Données!C:C, B41, Données!D:D), "")</f>
        <v/>
      </c>
      <c r="E41" s="68"/>
      <c r="F41" s="82"/>
      <c r="G41" s="80"/>
      <c r="H41" s="52"/>
      <c r="I41" s="68"/>
      <c r="J41" s="116" t="s">
        <v>53</v>
      </c>
      <c r="K41" s="119" t="s">
        <v>54</v>
      </c>
      <c r="L41" s="21"/>
      <c r="M41" s="53"/>
      <c r="N41" s="113"/>
    </row>
    <row r="42" spans="1:14" s="79" customFormat="1" x14ac:dyDescent="0.3">
      <c r="A42" s="107"/>
      <c r="B42" s="9" t="s">
        <v>34</v>
      </c>
      <c r="C42" s="37">
        <v>10</v>
      </c>
      <c r="D42" s="92" t="str">
        <f>IFERROR(AVERAGEIF(Données!C:C, B42, Données!D:D), "")</f>
        <v/>
      </c>
      <c r="E42" s="68"/>
      <c r="F42" s="82"/>
      <c r="G42" s="80"/>
      <c r="H42" s="52"/>
      <c r="I42" s="68"/>
      <c r="J42" s="117"/>
      <c r="K42" s="120"/>
      <c r="L42" s="21"/>
      <c r="M42" s="53"/>
      <c r="N42" s="113"/>
    </row>
    <row r="43" spans="1:14" s="79" customFormat="1" x14ac:dyDescent="0.3">
      <c r="A43" s="107"/>
      <c r="B43" s="2" t="s">
        <v>26</v>
      </c>
      <c r="C43" s="37">
        <v>5</v>
      </c>
      <c r="D43" s="92" t="str">
        <f>IFERROR(AVERAGEIF(Données!C:C, B43, Données!D:D), "")</f>
        <v/>
      </c>
      <c r="E43" s="22"/>
      <c r="F43" s="82"/>
      <c r="G43" s="80"/>
      <c r="H43" s="52"/>
      <c r="I43" s="68"/>
      <c r="J43" s="117"/>
      <c r="K43" s="120"/>
      <c r="L43" s="21"/>
      <c r="M43" s="53"/>
      <c r="N43" s="113"/>
    </row>
    <row r="44" spans="1:14" s="79" customFormat="1" x14ac:dyDescent="0.3">
      <c r="A44" s="107"/>
      <c r="B44" s="2" t="s">
        <v>27</v>
      </c>
      <c r="C44" s="37">
        <v>10</v>
      </c>
      <c r="D44" s="92" t="str">
        <f>IFERROR(AVERAGEIF(Données!C:C, B44, Données!D:D), "")</f>
        <v/>
      </c>
      <c r="E44" s="22"/>
      <c r="F44" s="82"/>
      <c r="G44" s="80"/>
      <c r="H44" s="52"/>
      <c r="I44" s="74"/>
      <c r="J44" s="118"/>
      <c r="K44" s="121"/>
      <c r="L44" s="70"/>
      <c r="M44" s="53"/>
      <c r="N44" s="113"/>
    </row>
    <row r="45" spans="1:14" s="79" customFormat="1" x14ac:dyDescent="0.3">
      <c r="A45" s="108"/>
      <c r="B45" s="1" t="s">
        <v>28</v>
      </c>
      <c r="C45" s="37">
        <v>5</v>
      </c>
      <c r="D45" s="92" t="str">
        <f>IFERROR(AVERAGEIF(Données!C:C, B45, Données!D:D), "")</f>
        <v/>
      </c>
      <c r="E45" s="22"/>
      <c r="F45" s="82"/>
      <c r="G45" s="81"/>
      <c r="H45" s="52"/>
      <c r="I45" s="68"/>
      <c r="J45" s="75" t="s">
        <v>55</v>
      </c>
      <c r="K45" s="76" t="str">
        <f>IF((COUNTIF(K30:K32,"&gt;=10")&gt;=2)*(COUNTIF(K30:K32,"&gt;=8")=3), "Vous passez en deuxième année !", "Vous ne passez pas en deuxième année !")</f>
        <v>Vous ne passez pas en deuxième année !</v>
      </c>
      <c r="L45" s="21"/>
      <c r="M45" s="53"/>
      <c r="N45" s="113"/>
    </row>
    <row r="46" spans="1:14" s="79" customFormat="1" ht="15" customHeight="1" x14ac:dyDescent="0.3">
      <c r="A46" s="10"/>
      <c r="B46" s="11"/>
      <c r="C46" s="12"/>
      <c r="D46" s="48"/>
      <c r="E46" s="21"/>
      <c r="F46" s="82"/>
      <c r="G46" s="80"/>
      <c r="H46" s="52"/>
      <c r="I46" s="77"/>
      <c r="J46" s="78"/>
      <c r="K46" s="78"/>
      <c r="L46" s="71"/>
      <c r="M46" s="53"/>
      <c r="N46" s="113"/>
    </row>
    <row r="47" spans="1:14" s="79" customFormat="1" ht="15" customHeight="1" x14ac:dyDescent="0.3">
      <c r="A47" s="122" t="s">
        <v>12</v>
      </c>
      <c r="B47" s="3" t="s">
        <v>35</v>
      </c>
      <c r="C47" s="36">
        <v>15</v>
      </c>
      <c r="D47" s="92" t="str">
        <f>IFERROR(AVERAGEIF(Données!C:C, B47, Données!D:D), "")</f>
        <v/>
      </c>
      <c r="E47" s="22"/>
      <c r="F47" s="82"/>
      <c r="G47" s="80"/>
      <c r="H47" s="52"/>
      <c r="I47" s="52"/>
      <c r="J47" s="52"/>
      <c r="K47" s="52"/>
      <c r="L47" s="53"/>
      <c r="M47" s="53"/>
      <c r="N47" s="113"/>
    </row>
    <row r="48" spans="1:14" s="79" customFormat="1" x14ac:dyDescent="0.3">
      <c r="A48" s="103"/>
      <c r="B48" s="3" t="s">
        <v>38</v>
      </c>
      <c r="C48" s="36">
        <v>15</v>
      </c>
      <c r="D48" s="92" t="str">
        <f>IFERROR(AVERAGEIF(Données!C:C, B48, Données!D:D), "")</f>
        <v/>
      </c>
      <c r="E48" s="22"/>
      <c r="F48" s="82"/>
      <c r="G48" s="80"/>
      <c r="H48" s="53"/>
      <c r="I48" s="53"/>
      <c r="J48" s="53"/>
      <c r="K48" s="53"/>
      <c r="L48" s="53"/>
      <c r="M48" s="53"/>
      <c r="N48" s="113"/>
    </row>
    <row r="49" spans="1:14" s="79" customFormat="1" x14ac:dyDescent="0.3">
      <c r="A49" s="103"/>
      <c r="B49" s="3" t="s">
        <v>36</v>
      </c>
      <c r="C49" s="36">
        <v>25</v>
      </c>
      <c r="D49" s="92" t="str">
        <f>IFERROR(AVERAGEIF(Données!C:C, B49, Données!D:D), "")</f>
        <v/>
      </c>
      <c r="E49" s="22"/>
      <c r="F49" s="82"/>
      <c r="G49" s="80"/>
      <c r="H49" s="53"/>
      <c r="I49" s="53"/>
      <c r="J49" s="53"/>
      <c r="K49" s="53"/>
      <c r="L49" s="53"/>
      <c r="M49" s="53"/>
      <c r="N49" s="113"/>
    </row>
    <row r="50" spans="1:14" s="79" customFormat="1" x14ac:dyDescent="0.3">
      <c r="A50" s="103"/>
      <c r="B50" s="1" t="s">
        <v>24</v>
      </c>
      <c r="C50" s="36">
        <v>5</v>
      </c>
      <c r="D50" s="92" t="str">
        <f>IFERROR(AVERAGEIF(Données!C:C, B50, Données!D:D), "")</f>
        <v/>
      </c>
      <c r="E50" s="22"/>
      <c r="F50" s="82"/>
      <c r="G50" s="80"/>
      <c r="H50" s="53"/>
      <c r="I50" s="53"/>
      <c r="J50" s="53"/>
      <c r="K50" s="53"/>
      <c r="L50" s="53"/>
      <c r="M50" s="53"/>
      <c r="N50" s="113"/>
    </row>
    <row r="51" spans="1:14" s="79" customFormat="1" x14ac:dyDescent="0.3">
      <c r="A51" s="103"/>
      <c r="B51" s="7" t="s">
        <v>26</v>
      </c>
      <c r="C51" s="36">
        <v>5</v>
      </c>
      <c r="D51" s="92" t="str">
        <f>IFERROR(AVERAGEIF(Données!C:C, B51, Données!D:D), "")</f>
        <v/>
      </c>
      <c r="E51" s="22"/>
      <c r="F51" s="82"/>
      <c r="G51" s="80"/>
      <c r="H51" s="53"/>
      <c r="I51" s="53"/>
      <c r="J51" s="53"/>
      <c r="K51" s="53"/>
      <c r="L51" s="53"/>
      <c r="M51" s="53"/>
      <c r="N51" s="113"/>
    </row>
    <row r="52" spans="1:14" s="79" customFormat="1" x14ac:dyDescent="0.3">
      <c r="A52" s="103"/>
      <c r="B52" s="3" t="s">
        <v>37</v>
      </c>
      <c r="C52" s="36">
        <v>10</v>
      </c>
      <c r="D52" s="92" t="str">
        <f>IFERROR(AVERAGEIF(Données!C:C, B52, Données!D:D), "")</f>
        <v/>
      </c>
      <c r="E52" s="22"/>
      <c r="F52" s="82"/>
      <c r="G52" s="80"/>
      <c r="H52" s="53"/>
      <c r="I52" s="53"/>
      <c r="J52" s="53"/>
      <c r="K52" s="53"/>
      <c r="L52" s="53"/>
      <c r="M52" s="53"/>
      <c r="N52" s="113"/>
    </row>
    <row r="53" spans="1:14" s="79" customFormat="1" x14ac:dyDescent="0.3">
      <c r="A53" s="103"/>
      <c r="B53" s="2" t="s">
        <v>27</v>
      </c>
      <c r="C53" s="36">
        <v>20</v>
      </c>
      <c r="D53" s="92" t="str">
        <f>IFERROR(AVERAGEIF(Données!C:C, B53, Données!D:D), "")</f>
        <v/>
      </c>
      <c r="E53" s="22"/>
      <c r="F53" s="82"/>
      <c r="G53" s="80"/>
      <c r="H53" s="53"/>
      <c r="I53" s="53"/>
      <c r="J53" s="53"/>
      <c r="K53" s="53"/>
      <c r="L53" s="53"/>
      <c r="M53" s="53"/>
      <c r="N53" s="113"/>
    </row>
    <row r="54" spans="1:14" s="79" customFormat="1" x14ac:dyDescent="0.3">
      <c r="A54" s="104"/>
      <c r="B54" s="1" t="s">
        <v>28</v>
      </c>
      <c r="C54" s="36">
        <v>5</v>
      </c>
      <c r="D54" s="92" t="str">
        <f>IFERROR(AVERAGEIF(Données!C:C, B54, Données!D:D), "")</f>
        <v/>
      </c>
      <c r="E54" s="22"/>
      <c r="F54" s="82"/>
      <c r="G54" s="80"/>
      <c r="H54" s="53"/>
      <c r="I54" s="53"/>
      <c r="J54" s="53"/>
      <c r="K54" s="53"/>
      <c r="L54" s="53"/>
      <c r="M54" s="53"/>
      <c r="N54" s="113"/>
    </row>
    <row r="55" spans="1:14" x14ac:dyDescent="0.3">
      <c r="A55" s="13"/>
      <c r="B55" s="14"/>
      <c r="C55" s="15"/>
      <c r="D55" s="23"/>
      <c r="E55" s="20"/>
    </row>
    <row r="56" spans="1:14" x14ac:dyDescent="0.3">
      <c r="A56" s="109" t="s">
        <v>60</v>
      </c>
      <c r="B56" s="110"/>
      <c r="C56" s="110"/>
      <c r="D56" s="110"/>
      <c r="E56" s="110"/>
    </row>
    <row r="57" spans="1:14" x14ac:dyDescent="0.3"/>
  </sheetData>
  <mergeCells count="12">
    <mergeCell ref="A56:E1048576"/>
    <mergeCell ref="F55:XFD1048576"/>
    <mergeCell ref="N13:N54"/>
    <mergeCell ref="J13:K15"/>
    <mergeCell ref="J41:J44"/>
    <mergeCell ref="K41:K44"/>
    <mergeCell ref="A47:A54"/>
    <mergeCell ref="A4:A9"/>
    <mergeCell ref="A11:A15"/>
    <mergeCell ref="A17:A23"/>
    <mergeCell ref="A26:A34"/>
    <mergeCell ref="A36:A45"/>
  </mergeCells>
  <conditionalFormatting sqref="K46">
    <cfRule type="containsText" dxfId="5" priority="5" operator="containsText" text="&quot;Vous ne passez pas en deuxième année !&quot;">
      <formula>NOT(ISERROR(SEARCH("""Vous ne passez pas en deuxième année !""",K46)))</formula>
    </cfRule>
    <cfRule type="containsText" dxfId="4" priority="6" operator="containsText" text="&quot;Vous passez en deuxième année !&quot;">
      <formula>NOT(ISERROR(SEARCH("""Vous passez en deuxième année !""",K46)))</formula>
    </cfRule>
  </conditionalFormatting>
  <conditionalFormatting sqref="K45">
    <cfRule type="containsText" dxfId="3" priority="2" operator="containsText" text="Vous passez en deuxième année !">
      <formula>NOT(ISERROR(SEARCH("Vous passez en deuxième année !",K45)))</formula>
    </cfRule>
    <cfRule type="containsText" dxfId="2" priority="4" operator="containsText" text="Vous ne passez pas en deuxième année !">
      <formula>NOT(ISERROR(SEARCH("Vous ne passez pas en deuxième année !",K45)))</formula>
    </cfRule>
  </conditionalFormatting>
  <conditionalFormatting sqref="H19">
    <cfRule type="containsText" dxfId="1" priority="3" operator="containsText" text="Vous passez en deuxième année !">
      <formula>NOT(ISERROR(SEARCH("Vous passez en deuxième année !",H19)))</formula>
    </cfRule>
  </conditionalFormatting>
  <conditionalFormatting sqref="J16">
    <cfRule type="containsText" dxfId="0" priority="1" operator="containsText" text="Vous ne passez pas en deuxième année !">
      <formula>NOT(ISERROR(SEARCH("Vous ne passez pas en deuxième année !",J16)))</formula>
    </cfRule>
  </conditionalFormatting>
  <pageMargins left="0.7" right="0.7" top="0.75" bottom="0.75" header="0.3" footer="0.3"/>
  <pageSetup paperSize="9" scale="87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Retour">
          <controlPr defaultSize="0" autoLine="0" r:id="rId5">
            <anchor moveWithCells="1">
              <from>
                <xdr:col>7</xdr:col>
                <xdr:colOff>982980</xdr:colOff>
                <xdr:row>47</xdr:row>
                <xdr:rowOff>160020</xdr:rowOff>
              </from>
              <to>
                <xdr:col>10</xdr:col>
                <xdr:colOff>236220</xdr:colOff>
                <xdr:row>50</xdr:row>
                <xdr:rowOff>30480</xdr:rowOff>
              </to>
            </anchor>
          </controlPr>
        </control>
      </mc:Choice>
      <mc:Fallback>
        <control shapeId="1025" r:id="rId4" name="btnRetou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33023-A696-48A6-ADBE-4A2FEEE484F5}">
  <sheetPr codeName="Feuil3"/>
  <dimension ref="A1"/>
  <sheetViews>
    <sheetView showGridLines="0" showRowColHeaders="0" tabSelected="1" zoomScale="130" zoomScaleNormal="130" workbookViewId="0">
      <selection sqref="A1:Z36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E2535-2807-4B6A-A5CC-776636D8AFF5}">
  <sheetPr codeName="Feuil2"/>
  <dimension ref="A1:H5"/>
  <sheetViews>
    <sheetView zoomScale="130" zoomScaleNormal="130" workbookViewId="0">
      <selection activeCell="C6" sqref="C6"/>
    </sheetView>
  </sheetViews>
  <sheetFormatPr baseColWidth="10" defaultColWidth="11.44140625" defaultRowHeight="14.4" x14ac:dyDescent="0.3"/>
  <cols>
    <col min="1" max="1" width="14.6640625" customWidth="1"/>
    <col min="2" max="2" width="55.88671875" bestFit="1" customWidth="1"/>
    <col min="3" max="3" width="39.44140625" customWidth="1"/>
    <col min="4" max="4" width="9.88671875" customWidth="1"/>
    <col min="5" max="5" width="11.88671875" customWidth="1"/>
    <col min="6" max="6" width="10.33203125" customWidth="1"/>
    <col min="8" max="8" width="8.88671875" customWidth="1"/>
  </cols>
  <sheetData>
    <row r="1" spans="1:8" ht="15" customHeight="1" thickBot="1" x14ac:dyDescent="0.35">
      <c r="A1" s="93" t="s">
        <v>56</v>
      </c>
      <c r="B1" s="93" t="s">
        <v>57</v>
      </c>
      <c r="C1" s="93" t="s">
        <v>58</v>
      </c>
      <c r="D1" s="94" t="s">
        <v>59</v>
      </c>
    </row>
    <row r="2" spans="1:8" x14ac:dyDescent="0.3">
      <c r="F2" s="95"/>
      <c r="G2" s="95"/>
      <c r="H2" s="95"/>
    </row>
    <row r="3" spans="1:8" x14ac:dyDescent="0.3">
      <c r="F3" s="95"/>
      <c r="G3" s="95"/>
      <c r="H3" s="95"/>
    </row>
    <row r="4" spans="1:8" x14ac:dyDescent="0.3">
      <c r="F4" s="95"/>
      <c r="G4" s="95"/>
      <c r="H4" s="95"/>
    </row>
    <row r="5" spans="1:8" x14ac:dyDescent="0.3">
      <c r="F5" s="95"/>
      <c r="G5" s="95"/>
      <c r="H5" s="9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retourMenu">
          <controlPr defaultSize="0" autoLine="0" r:id="rId4">
            <anchor moveWithCells="1">
              <from>
                <xdr:col>5</xdr:col>
                <xdr:colOff>381000</xdr:colOff>
                <xdr:row>2</xdr:row>
                <xdr:rowOff>38100</xdr:rowOff>
              </from>
              <to>
                <xdr:col>7</xdr:col>
                <xdr:colOff>182880</xdr:colOff>
                <xdr:row>4</xdr:row>
                <xdr:rowOff>22860</xdr:rowOff>
              </to>
            </anchor>
          </controlPr>
        </control>
      </mc:Choice>
      <mc:Fallback>
        <control shapeId="3073" r:id="rId3" name="retourMenu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30A7F3-B3AA-4329-8DDB-BD3AD1330D54}">
  <ds:schemaRefs>
    <ds:schemaRef ds:uri="http://schemas.microsoft.com/office/infopath/2007/PartnerControls"/>
    <ds:schemaRef ds:uri="http://purl.org/dc/terms/"/>
    <ds:schemaRef ds:uri="976320d1-acf9-470b-91fd-984afe3f64f8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b1ed24f2-a78f-4e52-8aa3-2bfee2962d64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Coef - BUT1</vt:lpstr>
      <vt:lpstr>Menu</vt:lpstr>
      <vt:lpstr>Données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Aubin Vincent</cp:lastModifiedBy>
  <cp:revision/>
  <dcterms:created xsi:type="dcterms:W3CDTF">2021-04-11T08:18:39Z</dcterms:created>
  <dcterms:modified xsi:type="dcterms:W3CDTF">2025-01-06T22:44:44Z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